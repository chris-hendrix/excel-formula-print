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endrix\OneDrive - Jensen Hughes\Tools\VBA\"/>
    </mc:Choice>
  </mc:AlternateContent>
  <xr:revisionPtr revIDLastSave="0" documentId="13_ncr:1_{8E2415E7-8EB2-462F-A91B-0F8C1471FC33}" xr6:coauthVersionLast="46" xr6:coauthVersionMax="46" xr10:uidLastSave="{00000000-0000-0000-0000-000000000000}"/>
  <bookViews>
    <workbookView xWindow="3394" yWindow="3394" windowWidth="19286" windowHeight="12120" xr2:uid="{2F1A7767-B661-4275-A7E9-9D1A9981A59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1" l="1"/>
  <c r="D15" i="1"/>
  <c r="D12" i="1"/>
  <c r="D20" i="1" s="1"/>
  <c r="D14" i="1"/>
  <c r="D16" i="1" s="1"/>
  <c r="D11" i="1"/>
  <c r="D19" i="1" s="1"/>
  <c r="F17" i="1" a="1"/>
  <c r="F15" i="1" a="1"/>
  <c r="F13" i="1" a="1"/>
  <c r="F14" i="1" a="1"/>
  <c r="F16" i="1" a="1"/>
  <c r="F12" i="1" a="1"/>
  <c r="F7" i="1" a="1"/>
  <c r="F10" i="1" a="1"/>
  <c r="F19" i="1" a="1"/>
  <c r="F5" i="1" a="1"/>
  <c r="F11" i="1" a="1"/>
  <c r="F4" i="1" a="1"/>
  <c r="F18" i="1" a="1"/>
  <c r="F6" i="1" a="1"/>
  <c r="F9" i="1" a="1"/>
  <c r="F8" i="1" a="1"/>
  <c r="F20" i="1" a="1"/>
  <c r="F18" i="1" l="1"/>
  <c r="F20" i="1"/>
  <c r="F19" i="1"/>
  <c r="F17" i="1"/>
  <c r="F15" i="1"/>
  <c r="F16" i="1"/>
  <c r="F14" i="1"/>
  <c r="F13" i="1"/>
  <c r="F4" i="1"/>
  <c r="F5" i="1"/>
  <c r="F8" i="1"/>
  <c r="F10" i="1"/>
  <c r="F9" i="1"/>
  <c r="F7" i="1"/>
  <c r="F6" i="1"/>
  <c r="F12" i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<sst xmlns="http://schemas.openxmlformats.org/spreadsheetml/2006/main" count="43" uniqueCount="38">
  <si>
    <t>Load</t>
  </si>
  <si>
    <t>L</t>
  </si>
  <si>
    <t>P</t>
  </si>
  <si>
    <t>Demand</t>
  </si>
  <si>
    <t>Moment</t>
  </si>
  <si>
    <t>Shear</t>
  </si>
  <si>
    <t>Width</t>
  </si>
  <si>
    <t>Height</t>
  </si>
  <si>
    <t>b</t>
  </si>
  <si>
    <t>h</t>
  </si>
  <si>
    <t>in</t>
  </si>
  <si>
    <t>Cantilever Input</t>
  </si>
  <si>
    <t>Load distance from support</t>
  </si>
  <si>
    <t>lb</t>
  </si>
  <si>
    <t>lb-in</t>
  </si>
  <si>
    <t>M</t>
  </si>
  <si>
    <t>V</t>
  </si>
  <si>
    <t>Yeild strength</t>
  </si>
  <si>
    <t>Fy</t>
  </si>
  <si>
    <t>psi</t>
  </si>
  <si>
    <t>Capacity</t>
  </si>
  <si>
    <t>Steel Plate Input</t>
  </si>
  <si>
    <t>Plastic modulus</t>
  </si>
  <si>
    <t>Z</t>
  </si>
  <si>
    <t>φMu</t>
  </si>
  <si>
    <t>in³</t>
  </si>
  <si>
    <t>Cantilever Steel Plate Check</t>
  </si>
  <si>
    <t>φVu</t>
  </si>
  <si>
    <t>Shear capacity</t>
  </si>
  <si>
    <t>Moment capacity</t>
  </si>
  <si>
    <t>Shear area</t>
  </si>
  <si>
    <t>in²</t>
  </si>
  <si>
    <t>Aw</t>
  </si>
  <si>
    <t>Check</t>
  </si>
  <si>
    <t>Bending check</t>
  </si>
  <si>
    <t>Shear check</t>
  </si>
  <si>
    <t>IRv</t>
  </si>
  <si>
    <t>IRb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</si>
</sst>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3" fontId="0" fillId="0" borderId="0" xfId="0" applyNumberFormat="1"/>
    <xf numFmtId="0" fontId="1" fillId="0" borderId="0" xfId="0" applyFont="1"/>
    <xf numFmtId="0" fontId="2" fillId="0" borderId="0" xfId="0" applyFont="1"/>
    <xf numFmtId="0" fontId="3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2F444-8E10-4DB0-893E-0C11533FF611}">
  <sheetPr codeName="Sheet1"/>
  <dimension ref="A1:F20"/>
  <sheetViews>
    <sheetView tabSelected="1" workbookViewId="0">
      <selection activeCell="D15" sqref="D15"/>
    </sheetView>
  </sheetViews>
  <sheetFormatPr defaultRowHeight="10.75" x14ac:dyDescent="0.3"/>
  <cols>
    <col min="1" max="1" width="2.69921875" style="2" customWidth="1"/>
    <col min="2" max="2" width="25.69921875" customWidth="1"/>
    <col min="6" max="6" width="30.09765625" customWidth="1"/>
  </cols>
  <sheetData>
    <row r="1" spans="1:6" s="4" customFormat="1" ht="15.9" x14ac:dyDescent="0.45">
      <c r="A1" s="3" t="s">
        <v>26</v>
      </c>
    </row>
    <row r="3" spans="1:6" x14ac:dyDescent="0.3">
      <c r="A3" s="2" t="s">
        <v>21</v>
      </c>
    </row>
    <row r="4" spans="1:6" x14ac:dyDescent="0.3">
      <c r="B4" t="s">
        <v>17</v>
      </c>
      <c r="C4" t="s">
        <v>18</v>
      </c>
      <c r="D4" s="1">
        <v>36000</v>
      </c>
      <c r="E4" t="s">
        <v>19</v>
      </c>
      <c r="F4" t="str" cm="1">
        <f t="array" aca="1" ref="F4" ca="1">GETFORMULA(D4, C4)</f>
        <v/>
      </c>
    </row>
    <row r="5" spans="1:6" x14ac:dyDescent="0.3">
      <c r="B5" t="s">
        <v>6</v>
      </c>
      <c r="C5" t="s">
        <v>8</v>
      </c>
      <c r="D5" s="5">
        <v>1</v>
      </c>
      <c r="E5" t="s">
        <v>10</v>
      </c>
      <c r="F5" t="str" cm="1">
        <f t="array" aca="1" ref="F5" ca="1">GETFORMULA(D5, C5)</f>
        <v/>
      </c>
    </row>
    <row r="6" spans="1:6" x14ac:dyDescent="0.3">
      <c r="B6" t="s">
        <v>7</v>
      </c>
      <c r="C6" t="s">
        <v>9</v>
      </c>
      <c r="D6" s="5">
        <v>2</v>
      </c>
      <c r="E6" t="s">
        <v>10</v>
      </c>
      <c r="F6" t="str" cm="1">
        <f t="array" aca="1" ref="F6" ca="1">GETFORMULA(D6, C6)</f>
        <v/>
      </c>
    </row>
    <row r="7" spans="1:6" x14ac:dyDescent="0.3">
      <c r="A7" s="2" t="s">
        <v>11</v>
      </c>
      <c r="F7" t="str" cm="1">
        <f t="array" aca="1" ref="F7" ca="1">GETFORMULA(D7, C7)</f>
        <v/>
      </c>
    </row>
    <row r="8" spans="1:6" x14ac:dyDescent="0.3">
      <c r="B8" t="s">
        <v>0</v>
      </c>
      <c r="C8" t="s">
        <v>2</v>
      </c>
      <c r="D8" s="1">
        <v>2000</v>
      </c>
      <c r="E8" t="s">
        <v>13</v>
      </c>
      <c r="F8" t="str" cm="1">
        <f t="array" aca="1" ref="F8" ca="1">GETFORMULA(D8, C8)</f>
        <v/>
      </c>
    </row>
    <row r="9" spans="1:6" x14ac:dyDescent="0.3">
      <c r="B9" t="s">
        <v>12</v>
      </c>
      <c r="C9" t="s">
        <v>1</v>
      </c>
      <c r="D9">
        <v>12</v>
      </c>
      <c r="E9" t="s">
        <v>10</v>
      </c>
      <c r="F9" t="str" cm="1">
        <f t="array" aca="1" ref="F9" ca="1">GETFORMULA(D9, C9)</f>
        <v/>
      </c>
    </row>
    <row r="10" spans="1:6" x14ac:dyDescent="0.3">
      <c r="A10" s="2" t="s">
        <v>3</v>
      </c>
      <c r="F10" t="str" cm="1">
        <f t="array" aca="1" ref="F10" ca="1">GETFORMULA(D10, C10)</f>
        <v/>
      </c>
    </row>
    <row r="11" spans="1:6" x14ac:dyDescent="0.3">
      <c r="B11" t="s">
        <v>4</v>
      </c>
      <c r="C11" t="s">
        <v>15</v>
      </c>
      <c r="D11" s="1">
        <f>D8*D9</f>
        <v>24000</v>
      </c>
      <c r="E11" t="s">
        <v>14</v>
      </c>
      <c r="F11" t="str" cm="1">
        <f t="array" aca="1" ref="F11" ca="1">GETFORMULA(D11, C11)</f>
        <v>=P*L</v>
      </c>
    </row>
    <row r="12" spans="1:6" x14ac:dyDescent="0.3">
      <c r="B12" t="s">
        <v>5</v>
      </c>
      <c r="C12" t="s">
        <v>16</v>
      </c>
      <c r="D12" s="1">
        <f>D8</f>
        <v>2000</v>
      </c>
      <c r="E12" t="s">
        <v>14</v>
      </c>
      <c r="F12" t="str" cm="1">
        <f t="array" aca="1" ref="F12" ca="1">GETFORMULA(D12, C12)</f>
        <v>=P</v>
      </c>
    </row>
    <row r="13" spans="1:6" x14ac:dyDescent="0.3">
      <c r="A13" s="2" t="s">
        <v>20</v>
      </c>
      <c r="F13" t="str" cm="1">
        <f t="array" aca="1" ref="F13" ca="1">GETFORMULA(D13, C13)</f>
        <v/>
      </c>
    </row>
    <row r="14" spans="1:6" x14ac:dyDescent="0.3">
      <c r="B14" t="s">
        <v>22</v>
      </c>
      <c r="C14" t="s">
        <v>23</v>
      </c>
      <c r="D14" s="5">
        <f>D5*D6^2/4</f>
        <v>1</v>
      </c>
      <c r="E14" t="s">
        <v>25</v>
      </c>
      <c r="F14" t="str" cm="1">
        <f t="array" aca="1" ref="F14" ca="1">GETFORMULA(D14, C14)</f>
        <v>=b*h^2/4</v>
      </c>
    </row>
    <row r="15" spans="1:6" x14ac:dyDescent="0.3">
      <c r="B15" t="s">
        <v>30</v>
      </c>
      <c r="C15" t="s">
        <v>32</v>
      </c>
      <c r="D15" s="5">
        <f>D5*D6</f>
        <v>2</v>
      </c>
      <c r="E15" t="s">
        <v>31</v>
      </c>
      <c r="F15" t="str" cm="1">
        <f t="array" aca="1" ref="F15" ca="1">GETFORMULA(D15, C15)</f>
        <v>=b*h</v>
      </c>
    </row>
    <row r="16" spans="1:6" x14ac:dyDescent="0.3">
      <c r="B16" t="s">
        <v>29</v>
      </c>
      <c r="C16" t="s">
        <v>24</v>
      </c>
      <c r="D16" s="1">
        <f>0.9*D4*D14</f>
        <v>32400</v>
      </c>
      <c r="E16" t="s">
        <v>14</v>
      </c>
      <c r="F16" t="str" cm="1">
        <f t="array" aca="1" ref="F16" ca="1">GETFORMULA(D16, C16)</f>
        <v>=0.9*Fy*Z</v>
      </c>
    </row>
    <row r="17" spans="1:6" x14ac:dyDescent="0.3">
      <c r="B17" t="s">
        <v>28</v>
      </c>
      <c r="C17" t="s">
        <v>27</v>
      </c>
      <c r="D17">
        <f>1*0.6*D4*D15</f>
        <v>43200</v>
      </c>
      <c r="E17" t="s">
        <v>13</v>
      </c>
      <c r="F17" t="str" cm="1">
        <f t="array" aca="1" ref="F17" ca="1">GETFORMULA(D17, C17)</f>
        <v>=1*0.6*Fy*Aw</v>
      </c>
    </row>
    <row r="18" spans="1:6" x14ac:dyDescent="0.3">
      <c r="A18" s="2" t="s">
        <v>33</v>
      </c>
      <c r="F18" t="str" cm="1">
        <f t="array" aca="1" ref="F18" ca="1">GETFORMULA(D18, C18)</f>
        <v/>
      </c>
    </row>
    <row r="19" spans="1:6" x14ac:dyDescent="0.3">
      <c r="B19" t="s">
        <v>34</v>
      </c>
      <c r="C19" t="s">
        <v>37</v>
      </c>
      <c r="D19" s="5">
        <f>D11/D16</f>
        <v>0.7407407407407407</v>
      </c>
      <c r="F19" t="str" cm="1">
        <f t="array" aca="1" ref="F19" ca="1">GETFORMULA(D19, C19)</f>
        <v>=M/φMu</v>
      </c>
    </row>
    <row r="20" spans="1:6" x14ac:dyDescent="0.3">
      <c r="B20" t="s">
        <v>35</v>
      </c>
      <c r="C20" t="s">
        <v>36</v>
      </c>
      <c r="D20" s="5">
        <f>D12/D17</f>
        <v>4.6296296296296294E-2</v>
      </c>
      <c r="F20" t="str" cm="1">
        <f t="array" aca="1" ref="F20" ca="1">GETFORMULA(D20, C20)</f>
        <v>=V/φVu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Hendrix</dc:creator>
  <cp:lastModifiedBy>Chris Hendrix</cp:lastModifiedBy>
  <dcterms:created xsi:type="dcterms:W3CDTF">2021-05-04T20:09:30Z</dcterms:created>
  <dcterms:modified xsi:type="dcterms:W3CDTF">2021-05-04T21:22:35Z</dcterms:modified>
</cp:coreProperties>
</file>